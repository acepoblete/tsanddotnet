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tis/Projects/crema/jedunn/costcodes_poc/dotnet-api/Templates/"/>
    </mc:Choice>
  </mc:AlternateContent>
  <xr:revisionPtr revIDLastSave="0" documentId="13_ncr:1_{E0BD1280-5BA9-1D46-BEA9-2D3B7AF9E373}" xr6:coauthVersionLast="47" xr6:coauthVersionMax="47" xr10:uidLastSave="{00000000-0000-0000-0000-000000000000}"/>
  <bookViews>
    <workbookView xWindow="48640" yWindow="11520" windowWidth="32640" windowHeight="28560" xr2:uid="{00000000-000D-0000-FFFF-FFFF00000000}"/>
  </bookViews>
  <sheets>
    <sheet name="CostC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12" i="1" s="1"/>
  <c r="G4" i="1"/>
  <c r="G10" i="1"/>
  <c r="G2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<sst xmlns="http://schemas.openxmlformats.org/spreadsheetml/2006/main" count="27" uniqueCount="25">
  <si>
    <t>CMIC Code</t>
  </si>
  <si>
    <t>Name</t>
  </si>
  <si>
    <t>Labor</t>
  </si>
  <si>
    <t>Qty</t>
  </si>
  <si>
    <t>Materials</t>
  </si>
  <si>
    <t>Other</t>
  </si>
  <si>
    <t>TotalCost</t>
  </si>
  <si>
    <t>LAB-000</t>
  </si>
  <si>
    <t>MAT-000</t>
  </si>
  <si>
    <t>LAB-001</t>
  </si>
  <si>
    <t>Direct Labor</t>
  </si>
  <si>
    <t>LAB-002</t>
  </si>
  <si>
    <t>Indirect Labor</t>
  </si>
  <si>
    <t>LAB-001-01</t>
  </si>
  <si>
    <t>Carpenter</t>
  </si>
  <si>
    <t>LAB-001-02</t>
  </si>
  <si>
    <t>Electrician</t>
  </si>
  <si>
    <t>MAT-001</t>
  </si>
  <si>
    <t>Lumber</t>
  </si>
  <si>
    <t>MAT-002</t>
  </si>
  <si>
    <t>Electrical</t>
  </si>
  <si>
    <t>MAT-003</t>
  </si>
  <si>
    <t>Hardware</t>
  </si>
  <si>
    <t>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</si>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</sst>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O26" sqref="O26"/>
    </sheetView>
  </sheetViews>
  <sheetFormatPr baseColWidth="10" defaultColWidth="8.83203125" defaultRowHeight="15" x14ac:dyDescent="0.2"/>
  <cols>
    <col min="1" max="1" width="11.1640625" customWidth="1"/>
    <col min="2" max="2" width="12.5" customWidth="1"/>
    <col min="3" max="3" width="5.83203125" customWidth="1"/>
    <col min="4" max="4" width="4" customWidth="1"/>
    <col min="5" max="5" width="8.5" customWidth="1"/>
    <col min="6" max="6" width="5.6640625" customWidth="1"/>
    <col min="7" max="7" width="9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2</v>
      </c>
      <c r="C2">
        <v>0</v>
      </c>
      <c r="D2">
        <v>2</v>
      </c>
      <c r="E2">
        <v>0</v>
      </c>
      <c r="F2">
        <v>0</v>
      </c>
      <c r="G2">
        <f t="shared" ref="G2:G10" si="0">C2+(D2*E2)+F2</f>
        <v>0</v>
      </c>
    </row>
    <row r="3" spans="1:7" x14ac:dyDescent="0.2">
      <c r="A3" t="s">
        <v>8</v>
      </c>
      <c r="B3" t="s">
        <v>4</v>
      </c>
      <c r="C3">
        <v>0</v>
      </c>
      <c r="D3">
        <v>3</v>
      </c>
      <c r="E3">
        <v>100</v>
      </c>
      <c r="F3">
        <v>0</v>
      </c>
      <c r="G3">
        <f>(C3+(D3*E3)+F3)*D2</f>
        <v>600</v>
      </c>
    </row>
    <row r="4" spans="1:7" x14ac:dyDescent="0.2">
      <c r="A4" t="s">
        <v>9</v>
      </c>
      <c r="B4" t="s">
        <v>10</v>
      </c>
      <c r="C4">
        <v>5000</v>
      </c>
      <c r="D4">
        <v>1</v>
      </c>
      <c r="E4">
        <v>0</v>
      </c>
      <c r="F4">
        <v>0</v>
      </c>
      <c r="G4">
        <f t="shared" si="0"/>
        <v>5000</v>
      </c>
    </row>
    <row r="5" spans="1:7" x14ac:dyDescent="0.2">
      <c r="A5" t="s">
        <v>11</v>
      </c>
      <c r="B5" t="s">
        <v>12</v>
      </c>
      <c r="C5">
        <v>2000</v>
      </c>
      <c r="D5">
        <v>1</v>
      </c>
      <c r="E5">
        <v>0</v>
      </c>
      <c r="F5">
        <v>0</v>
      </c>
      <c r="G5">
        <f t="shared" si="0"/>
        <v>2000</v>
      </c>
    </row>
    <row r="6" spans="1:7" x14ac:dyDescent="0.2">
      <c r="A6" t="s">
        <v>13</v>
      </c>
      <c r="B6" t="s">
        <v>14</v>
      </c>
      <c r="C6">
        <v>2500</v>
      </c>
      <c r="D6">
        <v>1</v>
      </c>
      <c r="E6">
        <v>0</v>
      </c>
      <c r="F6">
        <v>0</v>
      </c>
      <c r="G6">
        <f t="shared" si="0"/>
        <v>2500</v>
      </c>
    </row>
    <row r="7" spans="1:7" x14ac:dyDescent="0.2">
      <c r="A7" t="s">
        <v>15</v>
      </c>
      <c r="B7" t="s">
        <v>16</v>
      </c>
      <c r="C7">
        <v>2500</v>
      </c>
      <c r="D7">
        <v>1</v>
      </c>
      <c r="E7">
        <v>0</v>
      </c>
      <c r="F7">
        <v>0</v>
      </c>
      <c r="G7">
        <f t="shared" si="0"/>
        <v>2500</v>
      </c>
    </row>
    <row r="8" spans="1:7" x14ac:dyDescent="0.2">
      <c r="A8" t="s">
        <v>17</v>
      </c>
      <c r="B8" t="s">
        <v>18</v>
      </c>
      <c r="C8">
        <v>0</v>
      </c>
      <c r="D8">
        <v>100</v>
      </c>
      <c r="E8">
        <v>3000</v>
      </c>
      <c r="F8">
        <v>0</v>
      </c>
      <c r="G8">
        <f t="shared" si="0"/>
        <v>300000</v>
      </c>
    </row>
    <row r="9" spans="1:7" x14ac:dyDescent="0.2">
      <c r="A9" t="s">
        <v>19</v>
      </c>
      <c r="B9" t="s">
        <v>20</v>
      </c>
      <c r="C9">
        <v>0</v>
      </c>
      <c r="D9">
        <v>50</v>
      </c>
      <c r="E9">
        <v>1500</v>
      </c>
      <c r="F9">
        <v>0</v>
      </c>
      <c r="G9">
        <f t="shared" si="0"/>
        <v>75000</v>
      </c>
    </row>
    <row r="10" spans="1:7" x14ac:dyDescent="0.2">
      <c r="A10" t="s">
        <v>21</v>
      </c>
      <c r="B10" t="s">
        <v>22</v>
      </c>
      <c r="C10">
        <v>0</v>
      </c>
      <c r="D10">
        <v>200</v>
      </c>
      <c r="E10">
        <v>500</v>
      </c>
      <c r="F10">
        <v>0</v>
      </c>
      <c r="G10">
        <f>C10+(D10*E10)+F10</f>
        <v>100000</v>
      </c>
    </row>
    <row r="12" spans="1:7" x14ac:dyDescent="0.2">
      <c r="A12" t="s">
        <v>23</v>
      </c>
      <c r="B12" t="s">
        <v>24</v>
      </c>
      <c r="G12" s="2">
        <f>SUM(G2:G10)</f>
        <v>487600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Poblete</cp:lastModifiedBy>
  <dcterms:created xsi:type="dcterms:W3CDTF">2026-01-08T01:42:32Z</dcterms:created>
  <dcterms:modified xsi:type="dcterms:W3CDTF">2026-01-12T16:54:56Z</dcterms:modified>
</cp:coreProperties>
</file>